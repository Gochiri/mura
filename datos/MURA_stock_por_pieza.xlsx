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</sheets>
  <definedNames>
    <definedName function="false" hidden="true" localSheetId="0" name="_xlnm._FilterDatabase" vbProcedure="false">Stock!$A$4:$N$41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<sst xmlns="http://schemas.openxmlformats.org/spreadsheetml/2006/main" count="205" uniqueCount="126">
  <si>
    <t xml:space="preserve">MÛRA — Stock por pieza</t>
  </si>
  <si>
    <t xml:space="preserve">Fuente: fichas técnicas de cada subcarpeta de Google Drive › PRODUCTOS. Los totales de la columna M se calculan con fórmula sobre las columnas de tallas.</t>
  </si>
  <si>
    <t xml:space="preserve">Pieza (carpeta Drive)</t>
  </si>
  <si>
    <t xml:space="preserve">Nombre web</t>
  </si>
  <si>
    <t xml:space="preserve">Categoría</t>
  </si>
  <si>
    <t xml:space="preserve">Color</t>
  </si>
  <si>
    <t xml:space="preserve">Precio (€)</t>
  </si>
  <si>
    <t xml:space="preserve">S</t>
  </si>
  <si>
    <t xml:space="preserve">M</t>
  </si>
  <si>
    <t xml:space="preserve">L</t>
  </si>
  <si>
    <t xml:space="preserve">XL</t>
  </si>
  <si>
    <t xml:space="preserve">S/M</t>
  </si>
  <si>
    <t xml:space="preserve">M/L</t>
  </si>
  <si>
    <t xml:space="preserve">Talla única</t>
  </si>
  <si>
    <t xml:space="preserve">Stock total</t>
  </si>
  <si>
    <t xml:space="preserve">Ficha técnica</t>
  </si>
  <si>
    <t xml:space="preserve">Blazer abalorio negra</t>
  </si>
  <si>
    <t xml:space="preserve">Blazer Noir Atelier</t>
  </si>
  <si>
    <t xml:space="preserve">Blazer / Sastrería</t>
  </si>
  <si>
    <t xml:space="preserve">Negro</t>
  </si>
  <si>
    <t xml:space="preserve">Abrir ficha</t>
  </si>
  <si>
    <t xml:space="preserve">Blazer blanca apertura lateral</t>
  </si>
  <si>
    <t xml:space="preserve">Blazer Blanca Arquitectónica</t>
  </si>
  <si>
    <t xml:space="preserve">Blanco</t>
  </si>
  <si>
    <t xml:space="preserve">Blazer encaje verde</t>
  </si>
  <si>
    <t xml:space="preserve">Blazer Encaje Esmeralda</t>
  </si>
  <si>
    <t xml:space="preserve">Blazer</t>
  </si>
  <si>
    <t xml:space="preserve">Verde esmeralda</t>
  </si>
  <si>
    <t xml:space="preserve">Blazer gris apertura lateral</t>
  </si>
  <si>
    <t xml:space="preserve">Blazer Gris Arquitectónica</t>
  </si>
  <si>
    <t xml:space="preserve">Gris claro</t>
  </si>
  <si>
    <t xml:space="preserve">Blazer solapa traje verde broche</t>
  </si>
  <si>
    <t xml:space="preserve">Blazer Verde Broche Joya</t>
  </si>
  <si>
    <t xml:space="preserve">Verde oliva</t>
  </si>
  <si>
    <t xml:space="preserve">Blusón paisley azul</t>
  </si>
  <si>
    <t xml:space="preserve">Blusón Paisley Azul</t>
  </si>
  <si>
    <t xml:space="preserve">Blusón</t>
  </si>
  <si>
    <t xml:space="preserve">Azul marino estampado</t>
  </si>
  <si>
    <t xml:space="preserve">Blusón paisley blanco</t>
  </si>
  <si>
    <t xml:space="preserve">Blusón Paisley Blanco</t>
  </si>
  <si>
    <t xml:space="preserve">Blanco roto</t>
  </si>
  <si>
    <t xml:space="preserve">Body blanco encaje</t>
  </si>
  <si>
    <t xml:space="preserve">Body Lencero Essential — Blanco roto</t>
  </si>
  <si>
    <t xml:space="preserve">Body</t>
  </si>
  <si>
    <t xml:space="preserve">Body negro encaje</t>
  </si>
  <si>
    <t xml:space="preserve">Body Lencero Essential — Negro</t>
  </si>
  <si>
    <t xml:space="preserve">Bomber encaje</t>
  </si>
  <si>
    <t xml:space="preserve">Bomber Encaje Atelier</t>
  </si>
  <si>
    <t xml:space="preserve">Chaqueta / Bomber</t>
  </si>
  <si>
    <t xml:space="preserve">Camisa abeja</t>
  </si>
  <si>
    <t xml:space="preserve">Camisa Abeja Joya Azul Marino</t>
  </si>
  <si>
    <t xml:space="preserve">Camisa</t>
  </si>
  <si>
    <t xml:space="preserve">Azul marino</t>
  </si>
  <si>
    <t xml:space="preserve">Camisa blanca crop volantitos</t>
  </si>
  <si>
    <t xml:space="preserve">Camisa Blanca Volantes Joya</t>
  </si>
  <si>
    <t xml:space="preserve">Camisa / Blusa</t>
  </si>
  <si>
    <t xml:space="preserve">Camisa blanca encaje</t>
  </si>
  <si>
    <t xml:space="preserve">Camisa Encaje Relieve</t>
  </si>
  <si>
    <t xml:space="preserve">Camisa blanca lazo cuello</t>
  </si>
  <si>
    <t xml:space="preserve">Camisa Blanca Cuello Lazo</t>
  </si>
  <si>
    <t xml:space="preserve">Camisa frunce cintura marrón</t>
  </si>
  <si>
    <t xml:space="preserve">Camisa Entalle Canela</t>
  </si>
  <si>
    <t xml:space="preserve">Canela</t>
  </si>
  <si>
    <t xml:space="preserve">Camisa negra encaje collar perla</t>
  </si>
  <si>
    <t xml:space="preserve">Camisa Perlas Eclipse</t>
  </si>
  <si>
    <t xml:space="preserve">Camisa transparencia negra lazo cuello</t>
  </si>
  <si>
    <t xml:space="preserve">Top Negro Lazada Encaje</t>
  </si>
  <si>
    <t xml:space="preserve">Top / Encaje</t>
  </si>
  <si>
    <t xml:space="preserve">Camisa verde (pantalón lazo)</t>
  </si>
  <si>
    <t xml:space="preserve">Camisa Oliva (Drapeo)</t>
  </si>
  <si>
    <t xml:space="preserve">Camisa verde lima satinada</t>
  </si>
  <si>
    <t xml:space="preserve">Camisa Estructurada</t>
  </si>
  <si>
    <t xml:space="preserve">Verde lima</t>
  </si>
  <si>
    <t xml:space="preserve">Chalequillo blanco</t>
  </si>
  <si>
    <t xml:space="preserve">Chalequillo Traje Blanco</t>
  </si>
  <si>
    <t xml:space="preserve">Chaleco</t>
  </si>
  <si>
    <t xml:space="preserve">Sin dato</t>
  </si>
  <si>
    <t xml:space="preserve">Pantalón blanco campana</t>
  </si>
  <si>
    <t xml:space="preserve">Pantalón Palazzo Blanco</t>
  </si>
  <si>
    <t xml:space="preserve">Pantalón / Sastrería</t>
  </si>
  <si>
    <t xml:space="preserve">Pantalón encaje blanco lazo en tobillo</t>
  </si>
  <si>
    <t xml:space="preserve">Pantalón Encaje Relieve</t>
  </si>
  <si>
    <t xml:space="preserve">Pantalón</t>
  </si>
  <si>
    <t xml:space="preserve">Pantalón encaje verde</t>
  </si>
  <si>
    <t xml:space="preserve">Pantalón Encaje Esmeralda</t>
  </si>
  <si>
    <t xml:space="preserve">Pantalón marrón transparencias</t>
  </si>
  <si>
    <t xml:space="preserve">Pantalón Transparencia Satinada</t>
  </si>
  <si>
    <t xml:space="preserve">Marrón</t>
  </si>
  <si>
    <t xml:space="preserve">Pantalón negro con print en verde</t>
  </si>
  <si>
    <t xml:space="preserve">Pantalón Animal Brillo Verde</t>
  </si>
  <si>
    <t xml:space="preserve">Verde oliva / animal print</t>
  </si>
  <si>
    <t xml:space="preserve">Pantalón negro transparencias</t>
  </si>
  <si>
    <t xml:space="preserve">Pantalón Encaje Eclipse</t>
  </si>
  <si>
    <t xml:space="preserve">Pantalón paisley azul</t>
  </si>
  <si>
    <t xml:space="preserve">Pantalón Paisley Azul</t>
  </si>
  <si>
    <t xml:space="preserve">Pantalón paisley blanco</t>
  </si>
  <si>
    <t xml:space="preserve">Pantalón Paisley Serena</t>
  </si>
  <si>
    <t xml:space="preserve">Pantalón pareo lazo verde</t>
  </si>
  <si>
    <t xml:space="preserve">Pantalón Pareo Oliva</t>
  </si>
  <si>
    <t xml:space="preserve">Pantalón print vaquero ballon</t>
  </si>
  <si>
    <t xml:space="preserve">Pantalón Print</t>
  </si>
  <si>
    <t xml:space="preserve">Pantalón / Casual chic</t>
  </si>
  <si>
    <t xml:space="preserve">Marrón print s/ crudo</t>
  </si>
  <si>
    <t xml:space="preserve">Pantalón raya diplomática crop</t>
  </si>
  <si>
    <t xml:space="preserve">Pantalón Crop Raya Diplomática</t>
  </si>
  <si>
    <t xml:space="preserve">Negro raya gris</t>
  </si>
  <si>
    <t xml:space="preserve">Pantalón traje negro</t>
  </si>
  <si>
    <t xml:space="preserve">Pantalón Negro Detalle Bajo</t>
  </si>
  <si>
    <t xml:space="preserve">Pantalón traje verde broche</t>
  </si>
  <si>
    <t xml:space="preserve">Pantalón Verde Cinturón Integrado</t>
  </si>
  <si>
    <t xml:space="preserve">Sobrefalda lentejuela</t>
  </si>
  <si>
    <t xml:space="preserve">Sobrefalda Negra Bordado Lentejuelas</t>
  </si>
  <si>
    <t xml:space="preserve">Sobrefalda</t>
  </si>
  <si>
    <t xml:space="preserve">Top manga abullonada animal print verde</t>
  </si>
  <si>
    <t xml:space="preserve">Top Animal Brillo Verde</t>
  </si>
  <si>
    <t xml:space="preserve">Top</t>
  </si>
  <si>
    <t xml:space="preserve">Top print vaquero</t>
  </si>
  <si>
    <t xml:space="preserve">Top Peplum Print</t>
  </si>
  <si>
    <t xml:space="preserve">Top / Blusa</t>
  </si>
  <si>
    <t xml:space="preserve">Camel y crudo</t>
  </si>
  <si>
    <t xml:space="preserve">Vestido blanco encaje flor relieve</t>
  </si>
  <si>
    <t xml:space="preserve">Vestido Asimetría Floral</t>
  </si>
  <si>
    <t xml:space="preserve">Vestido</t>
  </si>
  <si>
    <t xml:space="preserve">TOTAL</t>
  </si>
  <si>
    <t xml:space="preserve">Nota: «Chalequillo blanco» — su ficha técnica en Drive está vacía, no hay stock declarado.</t>
  </si>
  <si>
    <t xml:space="preserve">Nota: el body blanco y el body negro comparten una única ficha («Body Lencero Essential»); aquí se listan por separado, 6 uds. cada color.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</si>
</sst>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B4530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FF2CC"/>
        <bgColor rgb="FFE8EFE9"/>
      </patternFill>
    </fill>
    <fill>
      <patternFill patternType="solid">
        <fgColor rgb="FFE8EFE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medium">
        <color rgb="FF1F3B2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B2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FE9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oogle.com/document/d/1-1T1TjaWrnvYayewJO2G3kQzKGKn7aD0IzoduFx1d-s/edit" TargetMode="External"/><Relationship Id="rId2" Type="http://schemas.openxmlformats.org/officeDocument/2006/relationships/hyperlink" Target="https://docs.google.com/document/d/1-axG57v-i4ZOWSUX9Cbz4BVKXGIJHo_f0IlunBDcufc/edit" TargetMode="External"/><Relationship Id="rId3" Type="http://schemas.openxmlformats.org/officeDocument/2006/relationships/hyperlink" Target="https://docs.google.com/document/d/1CSxbz7LmE8LdB3lkP0yE9tIKBKonW390ip8saERCbU0/edit" TargetMode="External"/><Relationship Id="rId4" Type="http://schemas.openxmlformats.org/officeDocument/2006/relationships/hyperlink" Target="https://docs.google.com/document/d/10irDejJBxMj0LsLq2sCXQpA5H16FolUNE535uzXqnJM/edit" TargetMode="External"/><Relationship Id="rId5" Type="http://schemas.openxmlformats.org/officeDocument/2006/relationships/hyperlink" Target="https://docs.google.com/document/d/1I15UM7IRmH05AGDVFpul_Vt4dvnYeD6CS0U0YbEWiug/edit" TargetMode="External"/><Relationship Id="rId6" Type="http://schemas.openxmlformats.org/officeDocument/2006/relationships/hyperlink" Target="https://docs.google.com/document/d/1591tYDDx-MkYVzS2ULPw1iuSWLLWMkmbfGTnuHiX1AY/edit" TargetMode="External"/><Relationship Id="rId7" Type="http://schemas.openxmlformats.org/officeDocument/2006/relationships/hyperlink" Target="https://docs.google.com/document/d/17ookaaE1rOtollh0RNFR7nYjRwl_E1CVlLN8xXCXE8Q/edit" TargetMode="External"/><Relationship Id="rId8" Type="http://schemas.openxmlformats.org/officeDocument/2006/relationships/hyperlink" Target="https://docs.google.com/document/d/1CiFNhrIytSW7rgGgGvpnH1Rhoha1uzuUxpbZZuaahx4/edit" TargetMode="External"/><Relationship Id="rId9" Type="http://schemas.openxmlformats.org/officeDocument/2006/relationships/hyperlink" Target="https://docs.google.com/document/d/1CiFNhrIytSW7rgGgGvpnH1Rhoha1uzuUxpbZZuaahx4/edit" TargetMode="External"/><Relationship Id="rId10" Type="http://schemas.openxmlformats.org/officeDocument/2006/relationships/hyperlink" Target="https://docs.google.com/document/d/1CWmYmH1-9287aQ2k-Gj4_VVBVR_hy_3a-Fb9bskke-g/edit" TargetMode="External"/><Relationship Id="rId11" Type="http://schemas.openxmlformats.org/officeDocument/2006/relationships/hyperlink" Target="https://docs.google.com/document/d/1Bjxml6wPQl_UGHItE6PSQAs1ukdmCnK2Jm4AW_BzBJ8/edit" TargetMode="External"/><Relationship Id="rId12" Type="http://schemas.openxmlformats.org/officeDocument/2006/relationships/hyperlink" Target="https://docs.google.com/document/d/14zWpNYvdQREnujXYCdIf7u9OBu8bi5fCKEkqrDOiMHU/edit" TargetMode="External"/><Relationship Id="rId13" Type="http://schemas.openxmlformats.org/officeDocument/2006/relationships/hyperlink" Target="https://docs.google.com/document/d/19rnQkaeP7dljyeZ1oUhT7_ac4_Jw6Wu5AgqMV29w9GQ/edit" TargetMode="External"/><Relationship Id="rId14" Type="http://schemas.openxmlformats.org/officeDocument/2006/relationships/hyperlink" Target="https://docs.google.com/document/d/14SgHkUUCyllTUYDOJ6fQMgnNRNRFRJvIarF7M81Ij5g/edit" TargetMode="External"/><Relationship Id="rId15" Type="http://schemas.openxmlformats.org/officeDocument/2006/relationships/hyperlink" Target="https://docs.google.com/document/d/122svQwCzQv4uAi-8PlszgCdRDWjPZKUOL-ZO2fRXYfI/edit" TargetMode="External"/><Relationship Id="rId16" Type="http://schemas.openxmlformats.org/officeDocument/2006/relationships/hyperlink" Target="https://docs.google.com/document/d/1DWKkPnmps_3XDpreNcRPYkgpvXa7tdEgEL7m3M5APcM/edit" TargetMode="External"/><Relationship Id="rId17" Type="http://schemas.openxmlformats.org/officeDocument/2006/relationships/hyperlink" Target="https://docs.google.com/document/d/1415hGiIxTJuuyX3C-UiqCXzsIyc_cJ_pd7d2vGSLTgg/edit" TargetMode="External"/><Relationship Id="rId18" Type="http://schemas.openxmlformats.org/officeDocument/2006/relationships/hyperlink" Target="https://docs.google.com/document/d/1FixXyzNkRU2sxtjc5XbOQouH1F2qi2U_1VOISvicTiA/edit" TargetMode="External"/><Relationship Id="rId19" Type="http://schemas.openxmlformats.org/officeDocument/2006/relationships/hyperlink" Target="https://docs.google.com/document/d/16REvVMiEuUY4VkrO4J02b31RFD5K2Mla6BS9BFhh3vo/edit" TargetMode="External"/><Relationship Id="rId20" Type="http://schemas.openxmlformats.org/officeDocument/2006/relationships/hyperlink" Target="https://docs.google.com/document/d/12WYtNzhexJNUBiwWrnak8lsKG37CwCzVxQljVlmhY1w/edit" TargetMode="External"/><Relationship Id="rId21" Type="http://schemas.openxmlformats.org/officeDocument/2006/relationships/hyperlink" Target="https://docs.google.com/document/d/10TBQtqSCWf-8wGCIwxzfBTQGheMhdutLlSu3Xo41Tqs/edit" TargetMode="External"/><Relationship Id="rId22" Type="http://schemas.openxmlformats.org/officeDocument/2006/relationships/hyperlink" Target="https://docs.google.com/document/d/1AqnrNE9mQHB84Bw2ZKaX3HhqJ5Y8dy_uYZFFzgw0B4g/edit" TargetMode="External"/><Relationship Id="rId23" Type="http://schemas.openxmlformats.org/officeDocument/2006/relationships/hyperlink" Target="https://docs.google.com/document/d/1B2KRzGMMic37-1gc-pECqzo3XGr52ImSmC7MLg4vpLo/edit" TargetMode="External"/><Relationship Id="rId24" Type="http://schemas.openxmlformats.org/officeDocument/2006/relationships/hyperlink" Target="https://docs.google.com/document/d/151mGG_V7bjnWcUtGHrqVssgLFimwcJQ-QWhZlSQfLoM/edit" TargetMode="External"/><Relationship Id="rId25" Type="http://schemas.openxmlformats.org/officeDocument/2006/relationships/hyperlink" Target="https://docs.google.com/document/d/1GN8n0B0Iuba1hAaD5SmV-tAh1TqoSFArQOT_zIvuanQ/edit" TargetMode="External"/><Relationship Id="rId26" Type="http://schemas.openxmlformats.org/officeDocument/2006/relationships/hyperlink" Target="https://docs.google.com/document/d/1DSLnqWMOsoCnXDBADCjQN4E0_eHaeVhj1nkrdK-gzGw/edit" TargetMode="External"/><Relationship Id="rId27" Type="http://schemas.openxmlformats.org/officeDocument/2006/relationships/hyperlink" Target="https://docs.google.com/document/d/1B9c19ucK978mDwqH2leOq46ZxdKfK2YfE7vw3zv2xoM/edit" TargetMode="External"/><Relationship Id="rId28" Type="http://schemas.openxmlformats.org/officeDocument/2006/relationships/hyperlink" Target="https://docs.google.com/document/d/1D1ZAKL4VldJuvt9JiJWQGW3x_3WZWx7LBLItqGa1F4k/edit" TargetMode="External"/><Relationship Id="rId29" Type="http://schemas.openxmlformats.org/officeDocument/2006/relationships/hyperlink" Target="https://docs.google.com/document/d/1-yH4TXKa0nOD775tf2jOibNVBFYom1wX5xoyEQaZwjs/edit" TargetMode="External"/><Relationship Id="rId30" Type="http://schemas.openxmlformats.org/officeDocument/2006/relationships/hyperlink" Target="https://docs.google.com/document/d/100BMzet8M-ZGplRjulhZvqTd64KFORTSCIwF6sjzhEw/edit" TargetMode="External"/><Relationship Id="rId31" Type="http://schemas.openxmlformats.org/officeDocument/2006/relationships/hyperlink" Target="https://docs.google.com/document/d/15rLhjI1umPdpBl5SVz8jrw6axTRwjXg6roeKcdvEp0w/edit" TargetMode="External"/><Relationship Id="rId32" Type="http://schemas.openxmlformats.org/officeDocument/2006/relationships/hyperlink" Target="https://docs.google.com/document/d/11gPruKu0vNvnP4usv2jTgwgAk62up8jqqdAfkXgHKSk/edit" TargetMode="External"/><Relationship Id="rId33" Type="http://schemas.openxmlformats.org/officeDocument/2006/relationships/hyperlink" Target="https://docs.google.com/document/d/11wAv-8hOly-tUP3lmk-DiKhAvWTlM4OxRpZ0ZdeWRGg/edit" TargetMode="External"/><Relationship Id="rId34" Type="http://schemas.openxmlformats.org/officeDocument/2006/relationships/hyperlink" Target="https://docs.google.com/document/d/12zXhQExDAQo4UsGgNEz_Ri_xmvvlVH8lNWFiAtqvAL8/edit" TargetMode="External"/><Relationship Id="rId35" Type="http://schemas.openxmlformats.org/officeDocument/2006/relationships/hyperlink" Target="https://docs.google.com/document/d/1Hm5tOFfzAHTmW_FGx35zq01sT2PFd7MfAqdQxcgpK8Q/edit" TargetMode="External"/><Relationship Id="rId36" Type="http://schemas.openxmlformats.org/officeDocument/2006/relationships/hyperlink" Target="https://docs.google.com/document/d/19e3s0QIqoYfMkZsQj3gOCzVAUq3NlVGyJRIoU6uhJ9M/edit" TargetMode="External"/><Relationship Id="rId37" Type="http://schemas.openxmlformats.org/officeDocument/2006/relationships/hyperlink" Target="https://docs.google.com/document/d/1EVqSeXourAC3-Bq9BPEB61eMuIqR7_A4HT7j2qryx-M/edit" TargetMode="External"/><Relationship Id="rId3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9" min="6" style="0" width="6"/>
    <col collapsed="false" customWidth="true" hidden="false" outlineLevel="0" max="11" min="10" style="0" width="7"/>
    <col collapsed="false" customWidth="true" hidden="false" outlineLevel="0" max="13" min="12" style="0" width="12"/>
    <col collapsed="false" customWidth="true" hidden="false" outlineLevel="0" max="14" min="14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5" t="n">
        <v>199</v>
      </c>
      <c r="F5" s="6" t="n">
        <v>2</v>
      </c>
      <c r="G5" s="6" t="n">
        <v>2</v>
      </c>
      <c r="H5" s="6" t="n">
        <v>1</v>
      </c>
      <c r="I5" s="6"/>
      <c r="J5" s="6"/>
      <c r="K5" s="6"/>
      <c r="L5" s="6"/>
      <c r="M5" s="7" t="n">
        <f aca="false">IF(COUNT(F5:L5)=0,"",SUM(F5:L5))</f>
        <v>5</v>
      </c>
      <c r="N5" s="8" t="s">
        <v>20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18</v>
      </c>
      <c r="D6" s="4" t="s">
        <v>23</v>
      </c>
      <c r="E6" s="5" t="n">
        <v>159</v>
      </c>
      <c r="F6" s="6"/>
      <c r="G6" s="6"/>
      <c r="H6" s="6"/>
      <c r="I6" s="6"/>
      <c r="J6" s="6"/>
      <c r="K6" s="6"/>
      <c r="L6" s="6" t="n">
        <v>6</v>
      </c>
      <c r="M6" s="7" t="n">
        <f aca="false">IF(COUNT(F6:L6)=0,"",SUM(F6:L6))</f>
        <v>6</v>
      </c>
      <c r="N6" s="8" t="s">
        <v>20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4" t="s">
        <v>27</v>
      </c>
      <c r="E7" s="5" t="n">
        <v>159</v>
      </c>
      <c r="F7" s="6"/>
      <c r="G7" s="6"/>
      <c r="H7" s="6"/>
      <c r="I7" s="6"/>
      <c r="J7" s="6" t="n">
        <v>2</v>
      </c>
      <c r="K7" s="6" t="n">
        <v>2</v>
      </c>
      <c r="L7" s="6"/>
      <c r="M7" s="7" t="n">
        <f aca="false">IF(COUNT(F7:L7)=0,"",SUM(F7:L7))</f>
        <v>4</v>
      </c>
      <c r="N7" s="8" t="s">
        <v>20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18</v>
      </c>
      <c r="D8" s="4" t="s">
        <v>30</v>
      </c>
      <c r="E8" s="5" t="n">
        <v>159</v>
      </c>
      <c r="F8" s="6"/>
      <c r="G8" s="6"/>
      <c r="H8" s="6"/>
      <c r="I8" s="6"/>
      <c r="J8" s="6"/>
      <c r="K8" s="6"/>
      <c r="L8" s="6" t="n">
        <v>6</v>
      </c>
      <c r="M8" s="7" t="n">
        <f aca="false">IF(COUNT(F8:L8)=0,"",SUM(F8:L8))</f>
        <v>6</v>
      </c>
      <c r="N8" s="8" t="s">
        <v>20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26</v>
      </c>
      <c r="D9" s="4" t="s">
        <v>33</v>
      </c>
      <c r="E9" s="5" t="n">
        <v>169</v>
      </c>
      <c r="F9" s="6" t="n">
        <v>3</v>
      </c>
      <c r="G9" s="6" t="n">
        <v>3</v>
      </c>
      <c r="H9" s="6" t="n">
        <v>3</v>
      </c>
      <c r="I9" s="6"/>
      <c r="J9" s="6"/>
      <c r="K9" s="6"/>
      <c r="L9" s="6"/>
      <c r="M9" s="7" t="n">
        <f aca="false">IF(COUNT(F9:L9)=0,"",SUM(F9:L9))</f>
        <v>9</v>
      </c>
      <c r="N9" s="8" t="s">
        <v>20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36</v>
      </c>
      <c r="D10" s="4" t="s">
        <v>37</v>
      </c>
      <c r="E10" s="5" t="n">
        <v>79</v>
      </c>
      <c r="F10" s="6"/>
      <c r="G10" s="6"/>
      <c r="H10" s="6"/>
      <c r="I10" s="6"/>
      <c r="J10" s="6"/>
      <c r="K10" s="6"/>
      <c r="L10" s="6" t="n">
        <v>6</v>
      </c>
      <c r="M10" s="7" t="n">
        <f aca="false">IF(COUNT(F10:L10)=0,"",SUM(F10:L10))</f>
        <v>6</v>
      </c>
      <c r="N10" s="8" t="s">
        <v>20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36</v>
      </c>
      <c r="D11" s="4" t="s">
        <v>40</v>
      </c>
      <c r="E11" s="5" t="n">
        <v>79</v>
      </c>
      <c r="F11" s="6"/>
      <c r="G11" s="6"/>
      <c r="H11" s="6"/>
      <c r="I11" s="6"/>
      <c r="J11" s="6"/>
      <c r="K11" s="6"/>
      <c r="L11" s="6" t="n">
        <v>5</v>
      </c>
      <c r="M11" s="7" t="n">
        <f aca="false">IF(COUNT(F11:L11)=0,"",SUM(F11:L11))</f>
        <v>5</v>
      </c>
      <c r="N11" s="8" t="s">
        <v>20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43</v>
      </c>
      <c r="D12" s="4" t="s">
        <v>40</v>
      </c>
      <c r="E12" s="5" t="n">
        <v>29</v>
      </c>
      <c r="F12" s="6"/>
      <c r="G12" s="6"/>
      <c r="H12" s="6"/>
      <c r="I12" s="6"/>
      <c r="J12" s="6" t="n">
        <v>3</v>
      </c>
      <c r="K12" s="6" t="n">
        <v>3</v>
      </c>
      <c r="L12" s="6"/>
      <c r="M12" s="7" t="n">
        <f aca="false">IF(COUNT(F12:L12)=0,"",SUM(F12:L12))</f>
        <v>6</v>
      </c>
      <c r="N12" s="8" t="s">
        <v>20</v>
      </c>
    </row>
    <row r="13" customFormat="false" ht="15" hidden="false" customHeight="false" outlineLevel="0" collapsed="false">
      <c r="A13" s="4" t="s">
        <v>44</v>
      </c>
      <c r="B13" s="4" t="s">
        <v>45</v>
      </c>
      <c r="C13" s="4" t="s">
        <v>43</v>
      </c>
      <c r="D13" s="4" t="s">
        <v>19</v>
      </c>
      <c r="E13" s="5" t="n">
        <v>29</v>
      </c>
      <c r="F13" s="6"/>
      <c r="G13" s="6"/>
      <c r="H13" s="6"/>
      <c r="I13" s="6"/>
      <c r="J13" s="6" t="n">
        <v>3</v>
      </c>
      <c r="K13" s="6" t="n">
        <v>3</v>
      </c>
      <c r="L13" s="6"/>
      <c r="M13" s="7" t="n">
        <f aca="false">IF(COUNT(F13:L13)=0,"",SUM(F13:L13))</f>
        <v>6</v>
      </c>
      <c r="N13" s="8" t="s">
        <v>20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48</v>
      </c>
      <c r="D14" s="4" t="s">
        <v>40</v>
      </c>
      <c r="E14" s="5" t="n">
        <v>159</v>
      </c>
      <c r="F14" s="6" t="n">
        <v>2</v>
      </c>
      <c r="G14" s="6" t="n">
        <v>2</v>
      </c>
      <c r="H14" s="6" t="n">
        <v>2</v>
      </c>
      <c r="I14" s="6"/>
      <c r="J14" s="6"/>
      <c r="K14" s="6"/>
      <c r="L14" s="6"/>
      <c r="M14" s="7" t="n">
        <f aca="false">IF(COUNT(F14:L14)=0,"",SUM(F14:L14))</f>
        <v>6</v>
      </c>
      <c r="N14" s="8" t="s">
        <v>20</v>
      </c>
    </row>
    <row r="15" customFormat="false" ht="15" hidden="false" customHeight="false" outlineLevel="0" collapsed="false">
      <c r="A15" s="4" t="s">
        <v>49</v>
      </c>
      <c r="B15" s="4" t="s">
        <v>50</v>
      </c>
      <c r="C15" s="4" t="s">
        <v>51</v>
      </c>
      <c r="D15" s="4" t="s">
        <v>52</v>
      </c>
      <c r="E15" s="5" t="n">
        <v>105</v>
      </c>
      <c r="F15" s="6"/>
      <c r="G15" s="6"/>
      <c r="H15" s="6"/>
      <c r="I15" s="6"/>
      <c r="J15" s="6"/>
      <c r="K15" s="6"/>
      <c r="L15" s="6" t="n">
        <v>6</v>
      </c>
      <c r="M15" s="7" t="n">
        <f aca="false">IF(COUNT(F15:L15)=0,"",SUM(F15:L15))</f>
        <v>6</v>
      </c>
      <c r="N15" s="8" t="s">
        <v>20</v>
      </c>
    </row>
    <row r="16" customFormat="false" ht="15" hidden="false" customHeight="false" outlineLevel="0" collapsed="false">
      <c r="A16" s="4" t="s">
        <v>53</v>
      </c>
      <c r="B16" s="4" t="s">
        <v>54</v>
      </c>
      <c r="C16" s="4" t="s">
        <v>55</v>
      </c>
      <c r="D16" s="4" t="s">
        <v>23</v>
      </c>
      <c r="E16" s="5" t="n">
        <v>49</v>
      </c>
      <c r="F16" s="6" t="n">
        <v>1</v>
      </c>
      <c r="G16" s="6" t="n">
        <v>1</v>
      </c>
      <c r="H16" s="6" t="n">
        <v>1</v>
      </c>
      <c r="I16" s="6"/>
      <c r="J16" s="6"/>
      <c r="K16" s="6"/>
      <c r="L16" s="6"/>
      <c r="M16" s="7" t="n">
        <f aca="false">IF(COUNT(F16:L16)=0,"",SUM(F16:L16))</f>
        <v>3</v>
      </c>
      <c r="N16" s="8" t="s">
        <v>20</v>
      </c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51</v>
      </c>
      <c r="D17" s="4" t="s">
        <v>23</v>
      </c>
      <c r="E17" s="5" t="n">
        <v>149</v>
      </c>
      <c r="F17" s="6" t="n">
        <v>2</v>
      </c>
      <c r="G17" s="6" t="n">
        <v>2</v>
      </c>
      <c r="H17" s="6" t="n">
        <v>2</v>
      </c>
      <c r="I17" s="6"/>
      <c r="J17" s="6"/>
      <c r="K17" s="6"/>
      <c r="L17" s="6"/>
      <c r="M17" s="7" t="n">
        <f aca="false">IF(COUNT(F17:L17)=0,"",SUM(F17:L17))</f>
        <v>6</v>
      </c>
      <c r="N17" s="8" t="s">
        <v>20</v>
      </c>
    </row>
    <row r="18" customFormat="false" ht="15" hidden="false" customHeight="false" outlineLevel="0" collapsed="false">
      <c r="A18" s="4" t="s">
        <v>58</v>
      </c>
      <c r="B18" s="4" t="s">
        <v>59</v>
      </c>
      <c r="C18" s="4" t="s">
        <v>55</v>
      </c>
      <c r="D18" s="4" t="s">
        <v>23</v>
      </c>
      <c r="E18" s="5" t="n">
        <v>59</v>
      </c>
      <c r="F18" s="6" t="n">
        <v>3</v>
      </c>
      <c r="G18" s="6" t="n">
        <v>3</v>
      </c>
      <c r="H18" s="6" t="n">
        <v>3</v>
      </c>
      <c r="I18" s="6"/>
      <c r="J18" s="6"/>
      <c r="K18" s="6"/>
      <c r="L18" s="6"/>
      <c r="M18" s="7" t="n">
        <f aca="false">IF(COUNT(F18:L18)=0,"",SUM(F18:L18))</f>
        <v>9</v>
      </c>
      <c r="N18" s="8" t="s">
        <v>20</v>
      </c>
    </row>
    <row r="19" customFormat="false" ht="15" hidden="false" customHeight="false" outlineLevel="0" collapsed="false">
      <c r="A19" s="4" t="s">
        <v>60</v>
      </c>
      <c r="B19" s="4" t="s">
        <v>61</v>
      </c>
      <c r="C19" s="4" t="s">
        <v>51</v>
      </c>
      <c r="D19" s="4" t="s">
        <v>62</v>
      </c>
      <c r="E19" s="5" t="n">
        <v>79</v>
      </c>
      <c r="F19" s="6"/>
      <c r="G19" s="6"/>
      <c r="H19" s="6"/>
      <c r="I19" s="6"/>
      <c r="J19" s="6" t="n">
        <v>3</v>
      </c>
      <c r="K19" s="6" t="n">
        <v>2</v>
      </c>
      <c r="L19" s="6"/>
      <c r="M19" s="7" t="n">
        <f aca="false">IF(COUNT(F19:L19)=0,"",SUM(F19:L19))</f>
        <v>5</v>
      </c>
      <c r="N19" s="8" t="s">
        <v>20</v>
      </c>
    </row>
    <row r="20" customFormat="false" ht="15" hidden="false" customHeight="false" outlineLevel="0" collapsed="false">
      <c r="A20" s="4" t="s">
        <v>63</v>
      </c>
      <c r="B20" s="4" t="s">
        <v>64</v>
      </c>
      <c r="C20" s="4" t="s">
        <v>51</v>
      </c>
      <c r="D20" s="4" t="s">
        <v>19</v>
      </c>
      <c r="E20" s="5" t="n">
        <v>119</v>
      </c>
      <c r="F20" s="6"/>
      <c r="G20" s="6"/>
      <c r="H20" s="6"/>
      <c r="I20" s="6"/>
      <c r="J20" s="6" t="n">
        <v>3</v>
      </c>
      <c r="K20" s="6" t="n">
        <v>3</v>
      </c>
      <c r="L20" s="6"/>
      <c r="M20" s="7" t="n">
        <f aca="false">IF(COUNT(F20:L20)=0,"",SUM(F20:L20))</f>
        <v>6</v>
      </c>
      <c r="N20" s="8" t="s">
        <v>20</v>
      </c>
    </row>
    <row r="21" customFormat="false" ht="15" hidden="false" customHeight="false" outlineLevel="0" collapsed="false">
      <c r="A21" s="4" t="s">
        <v>65</v>
      </c>
      <c r="B21" s="4" t="s">
        <v>66</v>
      </c>
      <c r="C21" s="4" t="s">
        <v>67</v>
      </c>
      <c r="D21" s="4" t="s">
        <v>19</v>
      </c>
      <c r="E21" s="5" t="n">
        <v>69</v>
      </c>
      <c r="F21" s="6"/>
      <c r="G21" s="6"/>
      <c r="H21" s="6"/>
      <c r="I21" s="6"/>
      <c r="J21" s="6" t="n">
        <v>3</v>
      </c>
      <c r="K21" s="6" t="n">
        <v>3</v>
      </c>
      <c r="L21" s="6"/>
      <c r="M21" s="7" t="n">
        <f aca="false">IF(COUNT(F21:L21)=0,"",SUM(F21:L21))</f>
        <v>6</v>
      </c>
      <c r="N21" s="8" t="s">
        <v>20</v>
      </c>
    </row>
    <row r="22" customFormat="false" ht="15" hidden="false" customHeight="false" outlineLevel="0" collapsed="false">
      <c r="A22" s="4" t="s">
        <v>68</v>
      </c>
      <c r="B22" s="4" t="s">
        <v>69</v>
      </c>
      <c r="C22" s="4" t="s">
        <v>51</v>
      </c>
      <c r="D22" s="4" t="s">
        <v>33</v>
      </c>
      <c r="E22" s="5" t="n">
        <v>59</v>
      </c>
      <c r="F22" s="6"/>
      <c r="G22" s="6"/>
      <c r="H22" s="6"/>
      <c r="I22" s="6"/>
      <c r="J22" s="6" t="n">
        <v>3</v>
      </c>
      <c r="K22" s="6" t="n">
        <v>3</v>
      </c>
      <c r="L22" s="6"/>
      <c r="M22" s="7" t="n">
        <f aca="false">IF(COUNT(F22:L22)=0,"",SUM(F22:L22))</f>
        <v>6</v>
      </c>
      <c r="N22" s="8" t="s">
        <v>20</v>
      </c>
    </row>
    <row r="23" customFormat="false" ht="15" hidden="false" customHeight="false" outlineLevel="0" collapsed="false">
      <c r="A23" s="4" t="s">
        <v>70</v>
      </c>
      <c r="B23" s="4" t="s">
        <v>71</v>
      </c>
      <c r="C23" s="4" t="s">
        <v>55</v>
      </c>
      <c r="D23" s="4" t="s">
        <v>72</v>
      </c>
      <c r="E23" s="5" t="n">
        <v>89</v>
      </c>
      <c r="F23" s="6" t="n">
        <v>2</v>
      </c>
      <c r="G23" s="6" t="n">
        <v>3</v>
      </c>
      <c r="H23" s="6" t="n">
        <v>3</v>
      </c>
      <c r="I23" s="6"/>
      <c r="J23" s="6"/>
      <c r="K23" s="6"/>
      <c r="L23" s="6"/>
      <c r="M23" s="7" t="n">
        <f aca="false">IF(COUNT(F23:L23)=0,"",SUM(F23:L23))</f>
        <v>8</v>
      </c>
      <c r="N23" s="8" t="s">
        <v>20</v>
      </c>
    </row>
    <row r="24" customFormat="false" ht="15" hidden="false" customHeight="false" outlineLevel="0" collapsed="false">
      <c r="A24" s="9" t="s">
        <v>73</v>
      </c>
      <c r="B24" s="9" t="s">
        <v>74</v>
      </c>
      <c r="C24" s="9" t="s">
        <v>75</v>
      </c>
      <c r="D24" s="9" t="s">
        <v>23</v>
      </c>
      <c r="E24" s="10"/>
      <c r="F24" s="11"/>
      <c r="G24" s="11"/>
      <c r="H24" s="11"/>
      <c r="I24" s="11"/>
      <c r="J24" s="11"/>
      <c r="K24" s="11"/>
      <c r="L24" s="11"/>
      <c r="M24" s="12" t="s">
        <v>76</v>
      </c>
      <c r="N24" s="13" t="s">
        <v>20</v>
      </c>
    </row>
    <row r="25" customFormat="false" ht="15" hidden="false" customHeight="false" outlineLevel="0" collapsed="false">
      <c r="A25" s="4" t="s">
        <v>77</v>
      </c>
      <c r="B25" s="4" t="s">
        <v>78</v>
      </c>
      <c r="C25" s="4" t="s">
        <v>79</v>
      </c>
      <c r="D25" s="4" t="s">
        <v>23</v>
      </c>
      <c r="E25" s="5" t="n">
        <v>109</v>
      </c>
      <c r="F25" s="6" t="n">
        <v>3</v>
      </c>
      <c r="G25" s="6" t="n">
        <v>2</v>
      </c>
      <c r="H25" s="6" t="n">
        <v>3</v>
      </c>
      <c r="I25" s="6"/>
      <c r="J25" s="6"/>
      <c r="K25" s="6"/>
      <c r="L25" s="6"/>
      <c r="M25" s="7" t="n">
        <f aca="false">IF(COUNT(F25:L25)=0,"",SUM(F25:L25))</f>
        <v>8</v>
      </c>
      <c r="N25" s="8" t="s">
        <v>20</v>
      </c>
    </row>
    <row r="26" customFormat="false" ht="15" hidden="false" customHeight="false" outlineLevel="0" collapsed="false">
      <c r="A26" s="4" t="s">
        <v>80</v>
      </c>
      <c r="B26" s="4" t="s">
        <v>81</v>
      </c>
      <c r="C26" s="4" t="s">
        <v>82</v>
      </c>
      <c r="D26" s="4" t="s">
        <v>23</v>
      </c>
      <c r="E26" s="5" t="n">
        <v>149</v>
      </c>
      <c r="F26" s="6" t="n">
        <v>2</v>
      </c>
      <c r="G26" s="6" t="n">
        <v>2</v>
      </c>
      <c r="H26" s="6" t="n">
        <v>2</v>
      </c>
      <c r="I26" s="6"/>
      <c r="J26" s="6"/>
      <c r="K26" s="6"/>
      <c r="L26" s="6"/>
      <c r="M26" s="7" t="n">
        <f aca="false">IF(COUNT(F26:L26)=0,"",SUM(F26:L26))</f>
        <v>6</v>
      </c>
      <c r="N26" s="8" t="s">
        <v>20</v>
      </c>
    </row>
    <row r="27" customFormat="false" ht="15" hidden="false" customHeight="false" outlineLevel="0" collapsed="false">
      <c r="A27" s="4" t="s">
        <v>83</v>
      </c>
      <c r="B27" s="4" t="s">
        <v>84</v>
      </c>
      <c r="C27" s="4" t="s">
        <v>82</v>
      </c>
      <c r="D27" s="4" t="s">
        <v>27</v>
      </c>
      <c r="E27" s="5" t="n">
        <v>159</v>
      </c>
      <c r="F27" s="6" t="n">
        <v>2</v>
      </c>
      <c r="G27" s="6" t="n">
        <v>1</v>
      </c>
      <c r="H27" s="6" t="n">
        <v>1</v>
      </c>
      <c r="I27" s="6"/>
      <c r="J27" s="6"/>
      <c r="K27" s="6"/>
      <c r="L27" s="6"/>
      <c r="M27" s="7" t="n">
        <f aca="false">IF(COUNT(F27:L27)=0,"",SUM(F27:L27))</f>
        <v>4</v>
      </c>
      <c r="N27" s="8" t="s">
        <v>20</v>
      </c>
    </row>
    <row r="28" customFormat="false" ht="15" hidden="false" customHeight="false" outlineLevel="0" collapsed="false">
      <c r="A28" s="4" t="s">
        <v>85</v>
      </c>
      <c r="B28" s="4" t="s">
        <v>86</v>
      </c>
      <c r="C28" s="4" t="s">
        <v>82</v>
      </c>
      <c r="D28" s="4" t="s">
        <v>87</v>
      </c>
      <c r="E28" s="5" t="n">
        <v>69</v>
      </c>
      <c r="F28" s="6"/>
      <c r="G28" s="6"/>
      <c r="H28" s="6"/>
      <c r="I28" s="6"/>
      <c r="J28" s="6" t="n">
        <v>3</v>
      </c>
      <c r="K28" s="6" t="n">
        <v>2</v>
      </c>
      <c r="L28" s="6"/>
      <c r="M28" s="7" t="n">
        <f aca="false">IF(COUNT(F28:L28)=0,"",SUM(F28:L28))</f>
        <v>5</v>
      </c>
      <c r="N28" s="8" t="s">
        <v>20</v>
      </c>
    </row>
    <row r="29" customFormat="false" ht="15" hidden="false" customHeight="false" outlineLevel="0" collapsed="false">
      <c r="A29" s="4" t="s">
        <v>88</v>
      </c>
      <c r="B29" s="4" t="s">
        <v>89</v>
      </c>
      <c r="C29" s="4" t="s">
        <v>82</v>
      </c>
      <c r="D29" s="4" t="s">
        <v>90</v>
      </c>
      <c r="E29" s="5" t="n">
        <v>79</v>
      </c>
      <c r="F29" s="6" t="n">
        <v>3</v>
      </c>
      <c r="G29" s="6" t="n">
        <v>3</v>
      </c>
      <c r="H29" s="6" t="n">
        <v>3</v>
      </c>
      <c r="I29" s="6"/>
      <c r="J29" s="6"/>
      <c r="K29" s="6"/>
      <c r="L29" s="6"/>
      <c r="M29" s="7" t="n">
        <f aca="false">IF(COUNT(F29:L29)=0,"",SUM(F29:L29))</f>
        <v>9</v>
      </c>
      <c r="N29" s="8" t="s">
        <v>20</v>
      </c>
    </row>
    <row r="30" customFormat="false" ht="15" hidden="false" customHeight="false" outlineLevel="0" collapsed="false">
      <c r="A30" s="4" t="s">
        <v>91</v>
      </c>
      <c r="B30" s="4" t="s">
        <v>92</v>
      </c>
      <c r="C30" s="4" t="s">
        <v>82</v>
      </c>
      <c r="D30" s="4" t="s">
        <v>19</v>
      </c>
      <c r="E30" s="5" t="n">
        <v>89</v>
      </c>
      <c r="F30" s="6"/>
      <c r="G30" s="6"/>
      <c r="H30" s="6"/>
      <c r="I30" s="6"/>
      <c r="J30" s="6" t="n">
        <v>3</v>
      </c>
      <c r="K30" s="6" t="n">
        <v>3</v>
      </c>
      <c r="L30" s="6"/>
      <c r="M30" s="7" t="n">
        <f aca="false">IF(COUNT(F30:L30)=0,"",SUM(F30:L30))</f>
        <v>6</v>
      </c>
      <c r="N30" s="8" t="s">
        <v>20</v>
      </c>
    </row>
    <row r="31" customFormat="false" ht="15" hidden="false" customHeight="false" outlineLevel="0" collapsed="false">
      <c r="A31" s="4" t="s">
        <v>93</v>
      </c>
      <c r="B31" s="4" t="s">
        <v>94</v>
      </c>
      <c r="C31" s="4" t="s">
        <v>82</v>
      </c>
      <c r="D31" s="4" t="s">
        <v>37</v>
      </c>
      <c r="E31" s="5" t="n">
        <v>79</v>
      </c>
      <c r="F31" s="6" t="n">
        <v>3</v>
      </c>
      <c r="G31" s="6" t="n">
        <v>3</v>
      </c>
      <c r="H31" s="6" t="n">
        <v>3</v>
      </c>
      <c r="I31" s="6"/>
      <c r="J31" s="6"/>
      <c r="K31" s="6"/>
      <c r="L31" s="6"/>
      <c r="M31" s="7" t="n">
        <f aca="false">IF(COUNT(F31:L31)=0,"",SUM(F31:L31))</f>
        <v>9</v>
      </c>
      <c r="N31" s="8" t="s">
        <v>20</v>
      </c>
    </row>
    <row r="32" customFormat="false" ht="15" hidden="false" customHeight="false" outlineLevel="0" collapsed="false">
      <c r="A32" s="4" t="s">
        <v>95</v>
      </c>
      <c r="B32" s="4" t="s">
        <v>96</v>
      </c>
      <c r="C32" s="4" t="s">
        <v>82</v>
      </c>
      <c r="D32" s="4" t="s">
        <v>40</v>
      </c>
      <c r="E32" s="5" t="n">
        <v>79</v>
      </c>
      <c r="F32" s="6" t="n">
        <v>2</v>
      </c>
      <c r="G32" s="6" t="n">
        <v>2</v>
      </c>
      <c r="H32" s="6" t="n">
        <v>3</v>
      </c>
      <c r="I32" s="6"/>
      <c r="J32" s="6"/>
      <c r="K32" s="6"/>
      <c r="L32" s="6"/>
      <c r="M32" s="7" t="n">
        <f aca="false">IF(COUNT(F32:L32)=0,"",SUM(F32:L32))</f>
        <v>7</v>
      </c>
      <c r="N32" s="8" t="s">
        <v>20</v>
      </c>
    </row>
    <row r="33" customFormat="false" ht="15" hidden="false" customHeight="false" outlineLevel="0" collapsed="false">
      <c r="A33" s="4" t="s">
        <v>97</v>
      </c>
      <c r="B33" s="4" t="s">
        <v>98</v>
      </c>
      <c r="C33" s="4" t="s">
        <v>82</v>
      </c>
      <c r="D33" s="4" t="s">
        <v>33</v>
      </c>
      <c r="E33" s="5" t="n">
        <v>79</v>
      </c>
      <c r="F33" s="6" t="n">
        <v>2</v>
      </c>
      <c r="G33" s="6" t="n">
        <v>2</v>
      </c>
      <c r="H33" s="6" t="n">
        <v>2</v>
      </c>
      <c r="I33" s="6"/>
      <c r="J33" s="6"/>
      <c r="K33" s="6"/>
      <c r="L33" s="6"/>
      <c r="M33" s="7" t="n">
        <f aca="false">IF(COUNT(F33:L33)=0,"",SUM(F33:L33))</f>
        <v>6</v>
      </c>
      <c r="N33" s="8" t="s">
        <v>20</v>
      </c>
    </row>
    <row r="34" customFormat="false" ht="15" hidden="false" customHeight="false" outlineLevel="0" collapsed="false">
      <c r="A34" s="4" t="s">
        <v>99</v>
      </c>
      <c r="B34" s="4" t="s">
        <v>100</v>
      </c>
      <c r="C34" s="4" t="s">
        <v>101</v>
      </c>
      <c r="D34" s="4" t="s">
        <v>102</v>
      </c>
      <c r="E34" s="5" t="n">
        <v>79</v>
      </c>
      <c r="F34" s="6" t="n">
        <v>2</v>
      </c>
      <c r="G34" s="6" t="n">
        <v>3</v>
      </c>
      <c r="H34" s="6"/>
      <c r="I34" s="6"/>
      <c r="J34" s="6"/>
      <c r="K34" s="6"/>
      <c r="L34" s="6"/>
      <c r="M34" s="7" t="n">
        <f aca="false">IF(COUNT(F34:L34)=0,"",SUM(F34:L34))</f>
        <v>5</v>
      </c>
      <c r="N34" s="8" t="s">
        <v>20</v>
      </c>
    </row>
    <row r="35" customFormat="false" ht="15" hidden="false" customHeight="false" outlineLevel="0" collapsed="false">
      <c r="A35" s="4" t="s">
        <v>103</v>
      </c>
      <c r="B35" s="4" t="s">
        <v>104</v>
      </c>
      <c r="C35" s="4" t="s">
        <v>79</v>
      </c>
      <c r="D35" s="4" t="s">
        <v>105</v>
      </c>
      <c r="E35" s="5" t="n">
        <v>79</v>
      </c>
      <c r="F35" s="6" t="n">
        <v>3</v>
      </c>
      <c r="G35" s="6" t="n">
        <v>3</v>
      </c>
      <c r="H35" s="6" t="n">
        <v>3</v>
      </c>
      <c r="I35" s="6"/>
      <c r="J35" s="6"/>
      <c r="K35" s="6"/>
      <c r="L35" s="6"/>
      <c r="M35" s="7" t="n">
        <f aca="false">IF(COUNT(F35:L35)=0,"",SUM(F35:L35))</f>
        <v>9</v>
      </c>
      <c r="N35" s="8" t="s">
        <v>20</v>
      </c>
    </row>
    <row r="36" customFormat="false" ht="15" hidden="false" customHeight="false" outlineLevel="0" collapsed="false">
      <c r="A36" s="4" t="s">
        <v>106</v>
      </c>
      <c r="B36" s="4" t="s">
        <v>107</v>
      </c>
      <c r="C36" s="4" t="s">
        <v>79</v>
      </c>
      <c r="D36" s="4" t="s">
        <v>19</v>
      </c>
      <c r="E36" s="5" t="n">
        <v>79</v>
      </c>
      <c r="F36" s="6" t="n">
        <v>4</v>
      </c>
      <c r="G36" s="6" t="n">
        <v>4</v>
      </c>
      <c r="H36" s="6" t="n">
        <v>4</v>
      </c>
      <c r="I36" s="6" t="n">
        <v>4</v>
      </c>
      <c r="J36" s="6"/>
      <c r="K36" s="6"/>
      <c r="L36" s="6"/>
      <c r="M36" s="7" t="n">
        <f aca="false">IF(COUNT(F36:L36)=0,"",SUM(F36:L36))</f>
        <v>16</v>
      </c>
      <c r="N36" s="8" t="s">
        <v>20</v>
      </c>
    </row>
    <row r="37" customFormat="false" ht="15" hidden="false" customHeight="false" outlineLevel="0" collapsed="false">
      <c r="A37" s="4" t="s">
        <v>108</v>
      </c>
      <c r="B37" s="4" t="s">
        <v>109</v>
      </c>
      <c r="C37" s="4" t="s">
        <v>79</v>
      </c>
      <c r="D37" s="4" t="s">
        <v>33</v>
      </c>
      <c r="E37" s="5" t="n">
        <v>99</v>
      </c>
      <c r="F37" s="6" t="n">
        <v>3</v>
      </c>
      <c r="G37" s="6" t="n">
        <v>3</v>
      </c>
      <c r="H37" s="6" t="n">
        <v>3</v>
      </c>
      <c r="I37" s="6"/>
      <c r="J37" s="6"/>
      <c r="K37" s="6"/>
      <c r="L37" s="6"/>
      <c r="M37" s="7" t="n">
        <f aca="false">IF(COUNT(F37:L37)=0,"",SUM(F37:L37))</f>
        <v>9</v>
      </c>
      <c r="N37" s="8" t="s">
        <v>20</v>
      </c>
    </row>
    <row r="38" customFormat="false" ht="15" hidden="false" customHeight="false" outlineLevel="0" collapsed="false">
      <c r="A38" s="4" t="s">
        <v>110</v>
      </c>
      <c r="B38" s="4" t="s">
        <v>111</v>
      </c>
      <c r="C38" s="4" t="s">
        <v>112</v>
      </c>
      <c r="D38" s="4" t="s">
        <v>19</v>
      </c>
      <c r="E38" s="5" t="n">
        <v>99</v>
      </c>
      <c r="F38" s="6"/>
      <c r="G38" s="6"/>
      <c r="H38" s="6"/>
      <c r="I38" s="6"/>
      <c r="J38" s="6"/>
      <c r="K38" s="6"/>
      <c r="L38" s="6" t="n">
        <v>6</v>
      </c>
      <c r="M38" s="7" t="n">
        <f aca="false">IF(COUNT(F38:L38)=0,"",SUM(F38:L38))</f>
        <v>6</v>
      </c>
      <c r="N38" s="8" t="s">
        <v>20</v>
      </c>
    </row>
    <row r="39" customFormat="false" ht="15" hidden="false" customHeight="false" outlineLevel="0" collapsed="false">
      <c r="A39" s="4" t="s">
        <v>113</v>
      </c>
      <c r="B39" s="4" t="s">
        <v>114</v>
      </c>
      <c r="C39" s="4" t="s">
        <v>115</v>
      </c>
      <c r="D39" s="4" t="s">
        <v>90</v>
      </c>
      <c r="E39" s="5" t="n">
        <v>79</v>
      </c>
      <c r="F39" s="6" t="n">
        <v>3</v>
      </c>
      <c r="G39" s="6" t="n">
        <v>3</v>
      </c>
      <c r="H39" s="6" t="n">
        <v>3</v>
      </c>
      <c r="I39" s="6"/>
      <c r="J39" s="6"/>
      <c r="K39" s="6"/>
      <c r="L39" s="6"/>
      <c r="M39" s="7" t="n">
        <f aca="false">IF(COUNT(F39:L39)=0,"",SUM(F39:L39))</f>
        <v>9</v>
      </c>
      <c r="N39" s="8" t="s">
        <v>20</v>
      </c>
    </row>
    <row r="40" customFormat="false" ht="15" hidden="false" customHeight="false" outlineLevel="0" collapsed="false">
      <c r="A40" s="4" t="s">
        <v>116</v>
      </c>
      <c r="B40" s="4" t="s">
        <v>117</v>
      </c>
      <c r="C40" s="4" t="s">
        <v>118</v>
      </c>
      <c r="D40" s="4" t="s">
        <v>119</v>
      </c>
      <c r="E40" s="5" t="n">
        <v>79</v>
      </c>
      <c r="F40" s="6" t="n">
        <v>1</v>
      </c>
      <c r="G40" s="6" t="n">
        <v>2</v>
      </c>
      <c r="H40" s="6" t="n">
        <v>2</v>
      </c>
      <c r="I40" s="6"/>
      <c r="J40" s="6"/>
      <c r="K40" s="6"/>
      <c r="L40" s="6"/>
      <c r="M40" s="7" t="n">
        <f aca="false">IF(COUNT(F40:L40)=0,"",SUM(F40:L40))</f>
        <v>5</v>
      </c>
      <c r="N40" s="8" t="s">
        <v>20</v>
      </c>
    </row>
    <row r="41" customFormat="false" ht="15" hidden="false" customHeight="false" outlineLevel="0" collapsed="false">
      <c r="A41" s="4" t="s">
        <v>120</v>
      </c>
      <c r="B41" s="4" t="s">
        <v>121</v>
      </c>
      <c r="C41" s="4" t="s">
        <v>122</v>
      </c>
      <c r="D41" s="4" t="s">
        <v>23</v>
      </c>
      <c r="E41" s="5" t="n">
        <v>119</v>
      </c>
      <c r="F41" s="6" t="n">
        <v>3</v>
      </c>
      <c r="G41" s="6" t="n">
        <v>3</v>
      </c>
      <c r="H41" s="6" t="n">
        <v>3</v>
      </c>
      <c r="I41" s="6"/>
      <c r="J41" s="6"/>
      <c r="K41" s="6"/>
      <c r="L41" s="6"/>
      <c r="M41" s="7" t="n">
        <f aca="false">IF(COUNT(F41:L41)=0,"",SUM(F41:L41))</f>
        <v>9</v>
      </c>
      <c r="N41" s="8" t="s">
        <v>20</v>
      </c>
    </row>
    <row r="42" customFormat="false" ht="15" hidden="false" customHeight="false" outlineLevel="0" collapsed="false">
      <c r="A42" s="14" t="s">
        <v>123</v>
      </c>
      <c r="B42" s="15"/>
      <c r="C42" s="15"/>
      <c r="D42" s="15"/>
      <c r="E42" s="15"/>
      <c r="F42" s="16" t="n">
        <f aca="false">SUM(F5:F41)</f>
        <v>51</v>
      </c>
      <c r="G42" s="16" t="n">
        <f aca="false">SUM(G5:G41)</f>
        <v>52</v>
      </c>
      <c r="H42" s="16" t="n">
        <f aca="false">SUM(H5:H41)</f>
        <v>50</v>
      </c>
      <c r="I42" s="16" t="n">
        <f aca="false">SUM(I5:I41)</f>
        <v>4</v>
      </c>
      <c r="J42" s="16" t="n">
        <f aca="false">SUM(J5:J41)</f>
        <v>26</v>
      </c>
      <c r="K42" s="16" t="n">
        <f aca="false">SUM(K5:K41)</f>
        <v>24</v>
      </c>
      <c r="L42" s="16" t="n">
        <f aca="false">SUM(L5:L41)</f>
        <v>35</v>
      </c>
      <c r="M42" s="16" t="n">
        <f aca="false">SUM(M5:M41)</f>
        <v>242</v>
      </c>
      <c r="N42" s="15"/>
    </row>
    <row r="44" customFormat="false" ht="15" hidden="false" customHeight="false" outlineLevel="0" collapsed="false">
      <c r="A44" s="17" t="s">
        <v>124</v>
      </c>
    </row>
    <row r="45" customFormat="false" ht="15" hidden="false" customHeight="false" outlineLevel="0" collapsed="false">
      <c r="A45" s="2" t="s">
        <v>125</v>
      </c>
    </row>
  </sheetData>
  <autoFilter ref="A4:N41"/>
  <hyperlinks>
    <hyperlink ref="N5" r:id="rId1" display="Abrir ficha"/>
    <hyperlink ref="N6" r:id="rId2" display="Abrir ficha"/>
    <hyperlink ref="N7" r:id="rId3" display="Abrir ficha"/>
    <hyperlink ref="N8" r:id="rId4" display="Abrir ficha"/>
    <hyperlink ref="N9" r:id="rId5" display="Abrir ficha"/>
    <hyperlink ref="N10" r:id="rId6" display="Abrir ficha"/>
    <hyperlink ref="N11" r:id="rId7" display="Abrir ficha"/>
    <hyperlink ref="N12" r:id="rId8" display="Abrir ficha"/>
    <hyperlink ref="N13" r:id="rId9" display="Abrir ficha"/>
    <hyperlink ref="N14" r:id="rId10" display="Abrir ficha"/>
    <hyperlink ref="N15" r:id="rId11" display="Abrir ficha"/>
    <hyperlink ref="N16" r:id="rId12" display="Abrir ficha"/>
    <hyperlink ref="N17" r:id="rId13" display="Abrir ficha"/>
    <hyperlink ref="N18" r:id="rId14" display="Abrir ficha"/>
    <hyperlink ref="N19" r:id="rId15" display="Abrir ficha"/>
    <hyperlink ref="N20" r:id="rId16" display="Abrir ficha"/>
    <hyperlink ref="N21" r:id="rId17" display="Abrir ficha"/>
    <hyperlink ref="N22" r:id="rId18" display="Abrir ficha"/>
    <hyperlink ref="N23" r:id="rId19" display="Abrir ficha"/>
    <hyperlink ref="N24" r:id="rId20" display="Abrir ficha"/>
    <hyperlink ref="N25" r:id="rId21" display="Abrir ficha"/>
    <hyperlink ref="N26" r:id="rId22" display="Abrir ficha"/>
    <hyperlink ref="N27" r:id="rId23" display="Abrir ficha"/>
    <hyperlink ref="N28" r:id="rId24" display="Abrir ficha"/>
    <hyperlink ref="N29" r:id="rId25" display="Abrir ficha"/>
    <hyperlink ref="N30" r:id="rId26" display="Abrir ficha"/>
    <hyperlink ref="N31" r:id="rId27" display="Abrir ficha"/>
    <hyperlink ref="N32" r:id="rId28" display="Abrir ficha"/>
    <hyperlink ref="N33" r:id="rId29" display="Abrir ficha"/>
    <hyperlink ref="N34" r:id="rId30" display="Abrir ficha"/>
    <hyperlink ref="N35" r:id="rId31" display="Abrir ficha"/>
    <hyperlink ref="N36" r:id="rId32" display="Abrir ficha"/>
    <hyperlink ref="N37" r:id="rId33" display="Abrir ficha"/>
    <hyperlink ref="N38" r:id="rId34" display="Abrir ficha"/>
    <hyperlink ref="N39" r:id="rId35" display="Abrir ficha"/>
    <hyperlink ref="N40" r:id="rId36" display="Abrir ficha"/>
    <hyperlink ref="N41" r:id="rId37" display="Abrir fich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2026-08-25T17:32:48Z</dcterms:created>
  <dc:creator>openpyxl</dc:creator>
  <dc:description/>
  <dc:language>en-US</dc:language>
  <cp:lastModifiedBy/>
  <dcterms:modified xsi:type="dcterms:W3CDTF">2026-08-25T17:32:48Z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